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Groups\03. Financial management\07 Accounting reports\07.02 Статистика\Статистика 2023\1-цены производителей\02_2023\"/>
    </mc:Choice>
  </mc:AlternateContent>
  <xr:revisionPtr revIDLastSave="0" documentId="13_ncr:1_{1ACB93D8-D97A-4B98-B363-4688954E2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9" i="1" l="1"/>
  <c r="AS17" i="1"/>
  <c r="AS12" i="1"/>
  <c r="AS7" i="1"/>
  <c r="AA19" i="1"/>
  <c r="AA17" i="1"/>
  <c r="AA12" i="1"/>
  <c r="AA7" i="1"/>
</calcChain>
</file>

<file path=xl/sharedStrings.xml><?xml version="1.0" encoding="utf-8"?>
<sst xmlns="http://schemas.openxmlformats.org/spreadsheetml/2006/main" count="587" uniqueCount="108">
  <si>
    <t>3523000051</t>
  </si>
  <si>
    <t>4</t>
  </si>
  <si>
    <t>ZF2</t>
  </si>
  <si>
    <t>Счет</t>
  </si>
  <si>
    <t>2040766</t>
  </si>
  <si>
    <t>YAZAKI VOLGA LTD.</t>
  </si>
  <si>
    <t>RU</t>
  </si>
  <si>
    <t>ШТ</t>
  </si>
  <si>
    <t>0030</t>
  </si>
  <si>
    <t>30319105</t>
  </si>
  <si>
    <t>10</t>
  </si>
  <si>
    <t>93626331</t>
  </si>
  <si>
    <t>DE</t>
  </si>
  <si>
    <t>082651004</t>
  </si>
  <si>
    <t>Пластиковая клипса</t>
  </si>
  <si>
    <t>01</t>
  </si>
  <si>
    <t>Торговые изделия</t>
  </si>
  <si>
    <t>03/25/920/399</t>
  </si>
  <si>
    <t>1,00000</t>
  </si>
  <si>
    <t>RUB</t>
  </si>
  <si>
    <t/>
  </si>
  <si>
    <t>@5Y@</t>
  </si>
  <si>
    <t>Договор б/н от 01.01.2013</t>
  </si>
  <si>
    <t>02.2023</t>
  </si>
  <si>
    <t>3523000052</t>
  </si>
  <si>
    <t>ZF1</t>
  </si>
  <si>
    <t>2040808</t>
  </si>
  <si>
    <t>SAMARAAVTOZHGUT, LLC</t>
  </si>
  <si>
    <t>7587554</t>
  </si>
  <si>
    <t>40</t>
  </si>
  <si>
    <t>93617021</t>
  </si>
  <si>
    <t>76,30040</t>
  </si>
  <si>
    <t>EUR</t>
  </si>
  <si>
    <t>Договор №2015_02-17 от 11.05.2015</t>
  </si>
  <si>
    <t>3523000071</t>
  </si>
  <si>
    <t>5</t>
  </si>
  <si>
    <t>93638350</t>
  </si>
  <si>
    <t>3523000079</t>
  </si>
  <si>
    <t>93652610</t>
  </si>
  <si>
    <t>3523000093</t>
  </si>
  <si>
    <t>7597951</t>
  </si>
  <si>
    <t>93663796</t>
  </si>
  <si>
    <t>79,57160</t>
  </si>
  <si>
    <t>8</t>
  </si>
  <si>
    <t>80</t>
  </si>
  <si>
    <t>082652006</t>
  </si>
  <si>
    <t>3523000073</t>
  </si>
  <si>
    <t>2</t>
  </si>
  <si>
    <t>2054528</t>
  </si>
  <si>
    <t>AO «Samarskaya Kabelnaya Kompaniya»</t>
  </si>
  <si>
    <t>30340821</t>
  </si>
  <si>
    <t>93638354</t>
  </si>
  <si>
    <t>ASSEMBLY-CABLE STRAPS</t>
  </si>
  <si>
    <t>3523000091</t>
  </si>
  <si>
    <t>30319103</t>
  </si>
  <si>
    <t>93662263</t>
  </si>
  <si>
    <t>9</t>
  </si>
  <si>
    <t>90</t>
  </si>
  <si>
    <t>30319104</t>
  </si>
  <si>
    <t>175137000</t>
  </si>
  <si>
    <t>02/10/250/000</t>
  </si>
  <si>
    <t>3</t>
  </si>
  <si>
    <t>3523000092</t>
  </si>
  <si>
    <t>2044861</t>
  </si>
  <si>
    <t>Dimitrovgradskiy avtoagregatnyiy za</t>
  </si>
  <si>
    <t>9028</t>
  </si>
  <si>
    <t>7635889</t>
  </si>
  <si>
    <t>20</t>
  </si>
  <si>
    <t>93657639</t>
  </si>
  <si>
    <t>75,33480</t>
  </si>
  <si>
    <t>3523000102</t>
  </si>
  <si>
    <t>1</t>
  </si>
  <si>
    <t>2040824</t>
  </si>
  <si>
    <t>SANOH VOLGA, LLC</t>
  </si>
  <si>
    <t>0045</t>
  </si>
  <si>
    <t>30299781</t>
  </si>
  <si>
    <t>93665530</t>
  </si>
  <si>
    <t>218680001</t>
  </si>
  <si>
    <t>03/25/250/000</t>
  </si>
  <si>
    <t>Договор №СВ2012006 от 15.11.2012</t>
  </si>
  <si>
    <t>Фактура</t>
  </si>
  <si>
    <t>Поз.</t>
  </si>
  <si>
    <t>ВФакт</t>
  </si>
  <si>
    <t>Тип ДокумСбыта</t>
  </si>
  <si>
    <t>Дата фактуры</t>
  </si>
  <si>
    <t>Заказчик</t>
  </si>
  <si>
    <t>СтИм</t>
  </si>
  <si>
    <t>ФактурКоличество</t>
  </si>
  <si>
    <t>ЕИ</t>
  </si>
  <si>
    <t>УсПл</t>
  </si>
  <si>
    <t>ТоргДокум</t>
  </si>
  <si>
    <t>ДокОбразец</t>
  </si>
  <si>
    <t>ОбПзСд</t>
  </si>
  <si>
    <t>Прсх</t>
  </si>
  <si>
    <t>Материал</t>
  </si>
  <si>
    <t>Название</t>
  </si>
  <si>
    <t>ГКнМ</t>
  </si>
  <si>
    <t>Группа контировки для материала</t>
  </si>
  <si>
    <t>Иерархия продуктов</t>
  </si>
  <si>
    <t>КрсБух</t>
  </si>
  <si>
    <t>Сумма налога</t>
  </si>
  <si>
    <t>Вал.</t>
  </si>
  <si>
    <t>Стоимость нетто</t>
  </si>
  <si>
    <t>СтоимНетто</t>
  </si>
  <si>
    <t>Ид.</t>
  </si>
  <si>
    <t>Contract</t>
  </si>
  <si>
    <t>Месяц</t>
  </si>
  <si>
    <t>цена за 1000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</si>
</sst>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4" fontId="0" fillId="5" borderId="0" xfId="0" applyNumberFormat="1" applyFill="1" applyAlignment="1">
      <alignment horizontal="right" vertical="top"/>
    </xf>
    <xf numFmtId="3" fontId="0" fillId="5" borderId="1" xfId="0" applyNumberFormat="1" applyFill="1" applyBorder="1" applyAlignment="1">
      <alignment horizontal="right" vertical="top"/>
    </xf>
    <xf numFmtId="0" fontId="0" fillId="5" borderId="0" xfId="0" applyFill="1" applyAlignment="1">
      <alignment vertical="top"/>
    </xf>
    <xf numFmtId="3" fontId="0" fillId="6" borderId="1" xfId="0" applyNumberFormat="1" applyFill="1" applyBorder="1" applyAlignment="1">
      <alignment horizontal="right" vertical="top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" fontId="0" fillId="6" borderId="1" xfId="0" applyNumberForma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"/>
  <sheetViews>
    <sheetView tabSelected="1" topLeftCell="F1" workbookViewId="0">
      <selection activeCell="V29" sqref="V29"/>
    </sheetView>
  </sheetViews>
  <sheetFormatPr defaultRowHeight="12.75" outlineLevelRow="2" x14ac:dyDescent="0.2"/>
  <cols>
    <col min="1" max="1" width="12" hidden="1" customWidth="1"/>
    <col min="2" max="2" width="6" hidden="1" customWidth="1"/>
    <col min="3" max="3" width="7" hidden="1" customWidth="1"/>
    <col min="4" max="4" width="6" hidden="1" customWidth="1"/>
    <col min="5" max="5" width="14" hidden="1" customWidth="1"/>
    <col min="6" max="6" width="10" bestFit="1" customWidth="1"/>
    <col min="7" max="7" width="37" hidden="1" customWidth="1"/>
    <col min="8" max="8" width="6" bestFit="1" customWidth="1"/>
    <col min="9" max="9" width="8" bestFit="1" customWidth="1"/>
    <col min="10" max="10" width="4" bestFit="1" customWidth="1"/>
    <col min="11" max="11" width="6" hidden="1" customWidth="1"/>
    <col min="12" max="12" width="11" hidden="1" customWidth="1"/>
    <col min="13" max="13" width="6" hidden="1" customWidth="1"/>
    <col min="14" max="14" width="12" hidden="1" customWidth="1"/>
    <col min="15" max="15" width="8" hidden="1" customWidth="1"/>
    <col min="16" max="16" width="6" hidden="1" customWidth="1"/>
    <col min="17" max="17" width="11" bestFit="1" customWidth="1"/>
    <col min="18" max="18" width="23" bestFit="1" customWidth="1"/>
    <col min="19" max="19" width="6" bestFit="1" customWidth="1"/>
    <col min="20" max="20" width="18" hidden="1" customWidth="1"/>
    <col min="21" max="21" width="20" hidden="1" customWidth="1"/>
    <col min="22" max="22" width="11" bestFit="1" customWidth="1"/>
    <col min="23" max="23" width="14" bestFit="1" customWidth="1"/>
    <col min="24" max="24" width="6" bestFit="1" customWidth="1"/>
    <col min="25" max="25" width="17" bestFit="1" customWidth="1"/>
    <col min="26" max="26" width="6" bestFit="1" customWidth="1"/>
    <col min="27" max="27" width="17" style="16" bestFit="1" customWidth="1"/>
    <col min="28" max="28" width="6" bestFit="1" customWidth="1"/>
    <col min="29" max="29" width="12" bestFit="1" customWidth="1"/>
    <col min="30" max="31" width="6" bestFit="1" customWidth="1"/>
    <col min="32" max="32" width="6" hidden="1" customWidth="1"/>
    <col min="33" max="33" width="35" hidden="1" customWidth="1"/>
    <col min="34" max="34" width="5" hidden="1" customWidth="1"/>
    <col min="35" max="35" width="9" hidden="1" customWidth="1"/>
    <col min="36" max="44" width="0" hidden="1" customWidth="1"/>
    <col min="45" max="45" width="13.85546875" customWidth="1"/>
  </cols>
  <sheetData>
    <row r="1" spans="1:45" ht="51" x14ac:dyDescent="0.2">
      <c r="A1" s="1" t="s">
        <v>80</v>
      </c>
      <c r="B1" s="1" t="s">
        <v>81</v>
      </c>
      <c r="C1" s="1" t="s">
        <v>82</v>
      </c>
      <c r="D1" s="12" t="s">
        <v>83</v>
      </c>
      <c r="E1" s="1" t="s">
        <v>84</v>
      </c>
      <c r="F1" s="1" t="s">
        <v>85</v>
      </c>
      <c r="G1" s="1" t="s">
        <v>85</v>
      </c>
      <c r="H1" s="1" t="s">
        <v>86</v>
      </c>
      <c r="I1" s="12" t="s">
        <v>87</v>
      </c>
      <c r="J1" s="1" t="s">
        <v>88</v>
      </c>
      <c r="K1" s="1" t="s">
        <v>89</v>
      </c>
      <c r="L1" s="1" t="s">
        <v>90</v>
      </c>
      <c r="M1" s="1" t="s">
        <v>81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2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101</v>
      </c>
      <c r="AA1" s="13" t="s">
        <v>102</v>
      </c>
      <c r="AB1" s="1" t="s">
        <v>101</v>
      </c>
      <c r="AC1" s="1" t="s">
        <v>103</v>
      </c>
      <c r="AD1" s="1" t="s">
        <v>101</v>
      </c>
      <c r="AE1" s="1" t="s">
        <v>101</v>
      </c>
      <c r="AF1" s="1" t="s">
        <v>104</v>
      </c>
      <c r="AG1" s="1" t="s">
        <v>105</v>
      </c>
      <c r="AH1" s="1" t="s">
        <v>104</v>
      </c>
      <c r="AI1" s="1" t="s">
        <v>106</v>
      </c>
      <c r="AS1" s="18" t="s">
        <v>107</v>
      </c>
    </row>
    <row r="2" spans="1:45" outlineLevel="2" x14ac:dyDescent="0.2">
      <c r="A2" t="s">
        <v>0</v>
      </c>
      <c r="B2" t="s">
        <v>1</v>
      </c>
      <c r="C2" t="s">
        <v>2</v>
      </c>
      <c r="D2" t="s">
        <v>3</v>
      </c>
      <c r="E2" s="2">
        <v>44958</v>
      </c>
      <c r="F2" t="s">
        <v>4</v>
      </c>
      <c r="G2" t="s">
        <v>5</v>
      </c>
      <c r="H2" t="s">
        <v>6</v>
      </c>
      <c r="I2" s="3">
        <v>2000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s="4">
        <v>1852</v>
      </c>
      <c r="X2" t="s">
        <v>19</v>
      </c>
      <c r="Y2" s="4">
        <v>9260</v>
      </c>
      <c r="Z2" t="s">
        <v>19</v>
      </c>
      <c r="AA2" s="14">
        <v>9260</v>
      </c>
      <c r="AB2" t="s">
        <v>19</v>
      </c>
      <c r="AC2" s="4">
        <v>11112</v>
      </c>
      <c r="AD2" t="s">
        <v>20</v>
      </c>
      <c r="AE2" t="s">
        <v>19</v>
      </c>
      <c r="AF2" s="5" t="s">
        <v>21</v>
      </c>
      <c r="AG2" t="s">
        <v>22</v>
      </c>
      <c r="AH2" t="s">
        <v>20</v>
      </c>
      <c r="AI2" t="s">
        <v>23</v>
      </c>
      <c r="AS2" s="19"/>
    </row>
    <row r="3" spans="1:45" outlineLevel="2" x14ac:dyDescent="0.2">
      <c r="A3" t="s">
        <v>24</v>
      </c>
      <c r="B3" t="s">
        <v>1</v>
      </c>
      <c r="C3" t="s">
        <v>25</v>
      </c>
      <c r="D3" t="s">
        <v>3</v>
      </c>
      <c r="E3" s="2">
        <v>44958</v>
      </c>
      <c r="F3" t="s">
        <v>26</v>
      </c>
      <c r="G3" t="s">
        <v>27</v>
      </c>
      <c r="H3" t="s">
        <v>6</v>
      </c>
      <c r="I3" s="3">
        <v>16000</v>
      </c>
      <c r="J3" t="s">
        <v>7</v>
      </c>
      <c r="K3" t="s">
        <v>8</v>
      </c>
      <c r="L3" t="s">
        <v>28</v>
      </c>
      <c r="M3" t="s">
        <v>29</v>
      </c>
      <c r="N3" t="s">
        <v>30</v>
      </c>
      <c r="O3" t="s">
        <v>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31</v>
      </c>
      <c r="W3" s="4">
        <v>420.1</v>
      </c>
      <c r="X3" t="s">
        <v>32</v>
      </c>
      <c r="Y3" s="4">
        <v>2100.48</v>
      </c>
      <c r="Z3" t="s">
        <v>32</v>
      </c>
      <c r="AA3" s="14">
        <v>160267.46</v>
      </c>
      <c r="AB3" t="s">
        <v>19</v>
      </c>
      <c r="AC3" s="4">
        <v>2520.58</v>
      </c>
      <c r="AD3" t="s">
        <v>20</v>
      </c>
      <c r="AE3" t="s">
        <v>32</v>
      </c>
      <c r="AF3" s="5" t="s">
        <v>21</v>
      </c>
      <c r="AG3" t="s">
        <v>33</v>
      </c>
      <c r="AH3" t="s">
        <v>20</v>
      </c>
      <c r="AI3" t="s">
        <v>23</v>
      </c>
      <c r="AS3" s="19"/>
    </row>
    <row r="4" spans="1:45" outlineLevel="2" x14ac:dyDescent="0.2">
      <c r="A4" t="s">
        <v>34</v>
      </c>
      <c r="B4" t="s">
        <v>35</v>
      </c>
      <c r="C4" t="s">
        <v>2</v>
      </c>
      <c r="D4" t="s">
        <v>3</v>
      </c>
      <c r="E4" s="2">
        <v>44965</v>
      </c>
      <c r="F4" t="s">
        <v>4</v>
      </c>
      <c r="G4" t="s">
        <v>5</v>
      </c>
      <c r="H4" t="s">
        <v>6</v>
      </c>
      <c r="I4" s="3">
        <v>8000</v>
      </c>
      <c r="J4" t="s">
        <v>7</v>
      </c>
      <c r="K4" t="s">
        <v>8</v>
      </c>
      <c r="L4" t="s">
        <v>9</v>
      </c>
      <c r="M4" t="s">
        <v>10</v>
      </c>
      <c r="N4" t="s">
        <v>36</v>
      </c>
      <c r="O4" t="s">
        <v>35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17</v>
      </c>
      <c r="V4" t="s">
        <v>18</v>
      </c>
      <c r="W4" s="4">
        <v>7408</v>
      </c>
      <c r="X4" t="s">
        <v>19</v>
      </c>
      <c r="Y4" s="4">
        <v>37040</v>
      </c>
      <c r="Z4" t="s">
        <v>19</v>
      </c>
      <c r="AA4" s="14">
        <v>37040</v>
      </c>
      <c r="AB4" t="s">
        <v>19</v>
      </c>
      <c r="AC4" s="4">
        <v>44448</v>
      </c>
      <c r="AD4" t="s">
        <v>20</v>
      </c>
      <c r="AE4" t="s">
        <v>19</v>
      </c>
      <c r="AF4" s="5" t="s">
        <v>21</v>
      </c>
      <c r="AG4" t="s">
        <v>22</v>
      </c>
      <c r="AH4" t="s">
        <v>20</v>
      </c>
      <c r="AI4" t="s">
        <v>23</v>
      </c>
      <c r="AS4" s="19"/>
    </row>
    <row r="5" spans="1:45" outlineLevel="2" x14ac:dyDescent="0.2">
      <c r="A5" t="s">
        <v>37</v>
      </c>
      <c r="B5" t="s">
        <v>1</v>
      </c>
      <c r="C5" t="s">
        <v>2</v>
      </c>
      <c r="D5" t="s">
        <v>3</v>
      </c>
      <c r="E5" s="2">
        <v>44972</v>
      </c>
      <c r="F5" t="s">
        <v>4</v>
      </c>
      <c r="G5" t="s">
        <v>5</v>
      </c>
      <c r="H5" t="s">
        <v>6</v>
      </c>
      <c r="I5" s="3">
        <v>20000</v>
      </c>
      <c r="J5" t="s">
        <v>7</v>
      </c>
      <c r="K5" t="s">
        <v>8</v>
      </c>
      <c r="L5" t="s">
        <v>9</v>
      </c>
      <c r="M5" t="s">
        <v>10</v>
      </c>
      <c r="N5" t="s">
        <v>38</v>
      </c>
      <c r="O5" t="s">
        <v>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s="4">
        <v>19600</v>
      </c>
      <c r="X5" t="s">
        <v>19</v>
      </c>
      <c r="Y5" s="4">
        <v>98000</v>
      </c>
      <c r="Z5" t="s">
        <v>19</v>
      </c>
      <c r="AA5" s="14">
        <v>98000</v>
      </c>
      <c r="AB5" t="s">
        <v>19</v>
      </c>
      <c r="AC5" s="4">
        <v>117600</v>
      </c>
      <c r="AD5" t="s">
        <v>20</v>
      </c>
      <c r="AE5" t="s">
        <v>19</v>
      </c>
      <c r="AF5" s="5" t="s">
        <v>21</v>
      </c>
      <c r="AG5" t="s">
        <v>22</v>
      </c>
      <c r="AH5" t="s">
        <v>20</v>
      </c>
      <c r="AI5" t="s">
        <v>23</v>
      </c>
      <c r="AS5" s="19"/>
    </row>
    <row r="6" spans="1:45" outlineLevel="2" x14ac:dyDescent="0.2">
      <c r="A6" t="s">
        <v>39</v>
      </c>
      <c r="B6" t="s">
        <v>1</v>
      </c>
      <c r="C6" t="s">
        <v>25</v>
      </c>
      <c r="D6" t="s">
        <v>3</v>
      </c>
      <c r="E6" s="2">
        <v>44984</v>
      </c>
      <c r="F6" t="s">
        <v>26</v>
      </c>
      <c r="G6" t="s">
        <v>27</v>
      </c>
      <c r="H6" t="s">
        <v>6</v>
      </c>
      <c r="I6" s="3">
        <v>22000</v>
      </c>
      <c r="J6" t="s">
        <v>7</v>
      </c>
      <c r="K6" t="s">
        <v>8</v>
      </c>
      <c r="L6" t="s">
        <v>40</v>
      </c>
      <c r="M6" t="s">
        <v>29</v>
      </c>
      <c r="N6" t="s">
        <v>41</v>
      </c>
      <c r="O6" t="s">
        <v>1</v>
      </c>
      <c r="P6" t="s">
        <v>12</v>
      </c>
      <c r="Q6" t="s">
        <v>13</v>
      </c>
      <c r="R6" t="s">
        <v>14</v>
      </c>
      <c r="S6" t="s">
        <v>15</v>
      </c>
      <c r="T6" t="s">
        <v>16</v>
      </c>
      <c r="U6" t="s">
        <v>17</v>
      </c>
      <c r="V6" t="s">
        <v>42</v>
      </c>
      <c r="W6" s="4">
        <v>577.63</v>
      </c>
      <c r="X6" t="s">
        <v>32</v>
      </c>
      <c r="Y6" s="4">
        <v>2888.16</v>
      </c>
      <c r="Z6" t="s">
        <v>32</v>
      </c>
      <c r="AA6" s="14">
        <v>229815.51</v>
      </c>
      <c r="AB6" t="s">
        <v>19</v>
      </c>
      <c r="AC6" s="4">
        <v>3465.79</v>
      </c>
      <c r="AD6" t="s">
        <v>20</v>
      </c>
      <c r="AE6" t="s">
        <v>32</v>
      </c>
      <c r="AF6" s="5" t="s">
        <v>21</v>
      </c>
      <c r="AG6" t="s">
        <v>33</v>
      </c>
      <c r="AH6" t="s">
        <v>20</v>
      </c>
      <c r="AI6" t="s">
        <v>23</v>
      </c>
      <c r="AS6" s="19"/>
    </row>
    <row r="7" spans="1:45" outlineLevel="1" x14ac:dyDescent="0.2">
      <c r="A7" s="6" t="s">
        <v>20</v>
      </c>
      <c r="B7" s="6" t="s">
        <v>20</v>
      </c>
      <c r="C7" s="6" t="s">
        <v>20</v>
      </c>
      <c r="D7" s="6" t="s">
        <v>20</v>
      </c>
      <c r="E7" s="7"/>
      <c r="F7" s="6" t="s">
        <v>20</v>
      </c>
      <c r="G7" s="6" t="s">
        <v>20</v>
      </c>
      <c r="H7" s="6" t="s">
        <v>20</v>
      </c>
      <c r="I7" s="17">
        <v>68000</v>
      </c>
      <c r="J7" s="6" t="s">
        <v>7</v>
      </c>
      <c r="K7" s="6" t="s">
        <v>20</v>
      </c>
      <c r="L7" s="6" t="s">
        <v>20</v>
      </c>
      <c r="M7" s="6" t="s">
        <v>20</v>
      </c>
      <c r="N7" s="6" t="s">
        <v>20</v>
      </c>
      <c r="O7" s="6" t="s">
        <v>20</v>
      </c>
      <c r="P7" s="6" t="s">
        <v>20</v>
      </c>
      <c r="Q7" s="6" t="s">
        <v>13</v>
      </c>
      <c r="R7" s="6" t="s">
        <v>20</v>
      </c>
      <c r="S7" s="6" t="s">
        <v>20</v>
      </c>
      <c r="T7" s="6" t="s">
        <v>20</v>
      </c>
      <c r="U7" s="6" t="s">
        <v>20</v>
      </c>
      <c r="V7" s="6" t="s">
        <v>20</v>
      </c>
      <c r="W7" s="8"/>
      <c r="X7" s="6" t="s">
        <v>20</v>
      </c>
      <c r="Y7" s="8"/>
      <c r="Z7" s="6" t="s">
        <v>20</v>
      </c>
      <c r="AA7" s="17">
        <f>SUM(AA2:AA6)</f>
        <v>534382.97</v>
      </c>
      <c r="AB7" s="6" t="s">
        <v>20</v>
      </c>
      <c r="AC7" s="8"/>
      <c r="AD7" s="6" t="s">
        <v>20</v>
      </c>
      <c r="AE7" s="6" t="s">
        <v>20</v>
      </c>
      <c r="AF7" s="6" t="s">
        <v>20</v>
      </c>
      <c r="AG7" s="6" t="s">
        <v>20</v>
      </c>
      <c r="AH7" s="6" t="s">
        <v>20</v>
      </c>
      <c r="AI7" s="6" t="s">
        <v>20</v>
      </c>
      <c r="AS7" s="20">
        <f>AA7/I7*1000</f>
        <v>7858.5730882352937</v>
      </c>
    </row>
    <row r="8" spans="1:45" outlineLevel="2" x14ac:dyDescent="0.2">
      <c r="A8" t="s">
        <v>24</v>
      </c>
      <c r="B8" t="s">
        <v>43</v>
      </c>
      <c r="C8" t="s">
        <v>25</v>
      </c>
      <c r="D8" t="s">
        <v>3</v>
      </c>
      <c r="E8" s="2">
        <v>44958</v>
      </c>
      <c r="F8" t="s">
        <v>26</v>
      </c>
      <c r="G8" t="s">
        <v>27</v>
      </c>
      <c r="H8" t="s">
        <v>6</v>
      </c>
      <c r="I8" s="3">
        <v>8000</v>
      </c>
      <c r="J8" t="s">
        <v>7</v>
      </c>
      <c r="K8" t="s">
        <v>8</v>
      </c>
      <c r="L8" t="s">
        <v>28</v>
      </c>
      <c r="M8" t="s">
        <v>44</v>
      </c>
      <c r="N8" t="s">
        <v>30</v>
      </c>
      <c r="O8" t="s">
        <v>43</v>
      </c>
      <c r="P8" t="s">
        <v>12</v>
      </c>
      <c r="Q8" t="s">
        <v>45</v>
      </c>
      <c r="R8" t="s">
        <v>14</v>
      </c>
      <c r="S8" t="s">
        <v>15</v>
      </c>
      <c r="T8" t="s">
        <v>16</v>
      </c>
      <c r="U8" t="s">
        <v>17</v>
      </c>
      <c r="V8" t="s">
        <v>31</v>
      </c>
      <c r="W8" s="4">
        <v>193.42</v>
      </c>
      <c r="X8" t="s">
        <v>32</v>
      </c>
      <c r="Y8" s="4">
        <v>967.12</v>
      </c>
      <c r="Z8" t="s">
        <v>32</v>
      </c>
      <c r="AA8" s="14">
        <v>73791.64</v>
      </c>
      <c r="AB8" t="s">
        <v>19</v>
      </c>
      <c r="AC8" s="4">
        <v>1160.54</v>
      </c>
      <c r="AD8" t="s">
        <v>20</v>
      </c>
      <c r="AE8" t="s">
        <v>32</v>
      </c>
      <c r="AF8" s="5" t="s">
        <v>21</v>
      </c>
      <c r="AG8" t="s">
        <v>33</v>
      </c>
      <c r="AH8" t="s">
        <v>20</v>
      </c>
      <c r="AI8" t="s">
        <v>23</v>
      </c>
      <c r="AS8" s="19"/>
    </row>
    <row r="9" spans="1:45" outlineLevel="2" x14ac:dyDescent="0.2">
      <c r="A9" t="s">
        <v>46</v>
      </c>
      <c r="B9" t="s">
        <v>47</v>
      </c>
      <c r="C9" t="s">
        <v>2</v>
      </c>
      <c r="D9" t="s">
        <v>3</v>
      </c>
      <c r="E9" s="2">
        <v>44967</v>
      </c>
      <c r="F9" t="s">
        <v>48</v>
      </c>
      <c r="G9" t="s">
        <v>49</v>
      </c>
      <c r="H9" t="s">
        <v>6</v>
      </c>
      <c r="I9" s="3">
        <v>6000</v>
      </c>
      <c r="J9" t="s">
        <v>7</v>
      </c>
      <c r="K9" t="s">
        <v>8</v>
      </c>
      <c r="L9" t="s">
        <v>50</v>
      </c>
      <c r="M9" t="s">
        <v>10</v>
      </c>
      <c r="N9" t="s">
        <v>51</v>
      </c>
      <c r="O9" t="s">
        <v>47</v>
      </c>
      <c r="P9" t="s">
        <v>12</v>
      </c>
      <c r="Q9" t="s">
        <v>45</v>
      </c>
      <c r="R9" t="s">
        <v>52</v>
      </c>
      <c r="S9" t="s">
        <v>15</v>
      </c>
      <c r="T9" t="s">
        <v>16</v>
      </c>
      <c r="U9" t="s">
        <v>17</v>
      </c>
      <c r="V9" t="s">
        <v>18</v>
      </c>
      <c r="W9" s="4">
        <v>9888</v>
      </c>
      <c r="X9" t="s">
        <v>19</v>
      </c>
      <c r="Y9" s="4">
        <v>49440</v>
      </c>
      <c r="Z9" t="s">
        <v>19</v>
      </c>
      <c r="AA9" s="14">
        <v>49440</v>
      </c>
      <c r="AB9" t="s">
        <v>19</v>
      </c>
      <c r="AC9" s="4">
        <v>59328</v>
      </c>
      <c r="AD9" t="s">
        <v>20</v>
      </c>
      <c r="AE9" t="s">
        <v>19</v>
      </c>
      <c r="AF9" s="5" t="s">
        <v>21</v>
      </c>
      <c r="AG9" t="s">
        <v>20</v>
      </c>
      <c r="AH9" t="s">
        <v>20</v>
      </c>
      <c r="AI9" t="s">
        <v>23</v>
      </c>
      <c r="AS9" s="19"/>
    </row>
    <row r="10" spans="1:45" outlineLevel="2" x14ac:dyDescent="0.2">
      <c r="A10" t="s">
        <v>53</v>
      </c>
      <c r="B10" t="s">
        <v>1</v>
      </c>
      <c r="C10" t="s">
        <v>2</v>
      </c>
      <c r="D10" t="s">
        <v>3</v>
      </c>
      <c r="E10" s="2">
        <v>44979</v>
      </c>
      <c r="F10" t="s">
        <v>4</v>
      </c>
      <c r="G10" t="s">
        <v>5</v>
      </c>
      <c r="H10" t="s">
        <v>6</v>
      </c>
      <c r="I10" s="3">
        <v>22000</v>
      </c>
      <c r="J10" t="s">
        <v>7</v>
      </c>
      <c r="K10" t="s">
        <v>8</v>
      </c>
      <c r="L10" t="s">
        <v>54</v>
      </c>
      <c r="M10" t="s">
        <v>10</v>
      </c>
      <c r="N10" t="s">
        <v>55</v>
      </c>
      <c r="O10" t="s">
        <v>1</v>
      </c>
      <c r="P10" t="s">
        <v>12</v>
      </c>
      <c r="Q10" t="s">
        <v>45</v>
      </c>
      <c r="R10" t="s">
        <v>14</v>
      </c>
      <c r="S10" t="s">
        <v>15</v>
      </c>
      <c r="T10" t="s">
        <v>16</v>
      </c>
      <c r="U10" t="s">
        <v>17</v>
      </c>
      <c r="V10" t="s">
        <v>18</v>
      </c>
      <c r="W10" s="4">
        <v>23848</v>
      </c>
      <c r="X10" t="s">
        <v>19</v>
      </c>
      <c r="Y10" s="4">
        <v>119240</v>
      </c>
      <c r="Z10" t="s">
        <v>19</v>
      </c>
      <c r="AA10" s="14">
        <v>119240</v>
      </c>
      <c r="AB10" t="s">
        <v>19</v>
      </c>
      <c r="AC10" s="4">
        <v>143088</v>
      </c>
      <c r="AD10" t="s">
        <v>20</v>
      </c>
      <c r="AE10" t="s">
        <v>19</v>
      </c>
      <c r="AF10" s="5" t="s">
        <v>21</v>
      </c>
      <c r="AG10" t="s">
        <v>22</v>
      </c>
      <c r="AH10" t="s">
        <v>20</v>
      </c>
      <c r="AI10" t="s">
        <v>23</v>
      </c>
      <c r="AS10" s="19"/>
    </row>
    <row r="11" spans="1:45" outlineLevel="2" x14ac:dyDescent="0.2">
      <c r="A11" t="s">
        <v>39</v>
      </c>
      <c r="B11" t="s">
        <v>56</v>
      </c>
      <c r="C11" t="s">
        <v>25</v>
      </c>
      <c r="D11" t="s">
        <v>3</v>
      </c>
      <c r="E11" s="2">
        <v>44984</v>
      </c>
      <c r="F11" t="s">
        <v>26</v>
      </c>
      <c r="G11" t="s">
        <v>27</v>
      </c>
      <c r="H11" t="s">
        <v>6</v>
      </c>
      <c r="I11" s="3">
        <v>10000</v>
      </c>
      <c r="J11" t="s">
        <v>7</v>
      </c>
      <c r="K11" t="s">
        <v>8</v>
      </c>
      <c r="L11" t="s">
        <v>40</v>
      </c>
      <c r="M11" t="s">
        <v>57</v>
      </c>
      <c r="N11" t="s">
        <v>41</v>
      </c>
      <c r="O11" t="s">
        <v>56</v>
      </c>
      <c r="P11" t="s">
        <v>12</v>
      </c>
      <c r="Q11" t="s">
        <v>45</v>
      </c>
      <c r="R11" t="s">
        <v>14</v>
      </c>
      <c r="S11" t="s">
        <v>15</v>
      </c>
      <c r="T11" t="s">
        <v>16</v>
      </c>
      <c r="U11" t="s">
        <v>17</v>
      </c>
      <c r="V11" t="s">
        <v>42</v>
      </c>
      <c r="W11" s="4">
        <v>241.78</v>
      </c>
      <c r="X11" t="s">
        <v>32</v>
      </c>
      <c r="Y11" s="4">
        <v>1208.9000000000001</v>
      </c>
      <c r="Z11" t="s">
        <v>32</v>
      </c>
      <c r="AA11" s="14">
        <v>96194.11</v>
      </c>
      <c r="AB11" t="s">
        <v>19</v>
      </c>
      <c r="AC11" s="4">
        <v>1450.68</v>
      </c>
      <c r="AD11" t="s">
        <v>20</v>
      </c>
      <c r="AE11" t="s">
        <v>32</v>
      </c>
      <c r="AF11" s="5" t="s">
        <v>21</v>
      </c>
      <c r="AG11" t="s">
        <v>33</v>
      </c>
      <c r="AH11" t="s">
        <v>20</v>
      </c>
      <c r="AI11" t="s">
        <v>23</v>
      </c>
      <c r="AS11" s="19"/>
    </row>
    <row r="12" spans="1:45" outlineLevel="1" x14ac:dyDescent="0.2">
      <c r="A12" s="6" t="s">
        <v>20</v>
      </c>
      <c r="B12" s="6" t="s">
        <v>20</v>
      </c>
      <c r="C12" s="6" t="s">
        <v>20</v>
      </c>
      <c r="D12" s="6" t="s">
        <v>20</v>
      </c>
      <c r="E12" s="7"/>
      <c r="F12" s="6" t="s">
        <v>20</v>
      </c>
      <c r="G12" s="6" t="s">
        <v>20</v>
      </c>
      <c r="H12" s="6" t="s">
        <v>20</v>
      </c>
      <c r="I12" s="17">
        <v>46000</v>
      </c>
      <c r="J12" s="6" t="s">
        <v>7</v>
      </c>
      <c r="K12" s="6" t="s">
        <v>20</v>
      </c>
      <c r="L12" s="6" t="s">
        <v>20</v>
      </c>
      <c r="M12" s="6" t="s">
        <v>20</v>
      </c>
      <c r="N12" s="6" t="s">
        <v>20</v>
      </c>
      <c r="O12" s="6" t="s">
        <v>20</v>
      </c>
      <c r="P12" s="6" t="s">
        <v>20</v>
      </c>
      <c r="Q12" s="6" t="s">
        <v>45</v>
      </c>
      <c r="R12" s="6" t="s">
        <v>20</v>
      </c>
      <c r="S12" s="6" t="s">
        <v>20</v>
      </c>
      <c r="T12" s="6" t="s">
        <v>20</v>
      </c>
      <c r="U12" s="6" t="s">
        <v>20</v>
      </c>
      <c r="V12" s="6" t="s">
        <v>20</v>
      </c>
      <c r="W12" s="8"/>
      <c r="X12" s="6" t="s">
        <v>20</v>
      </c>
      <c r="Y12" s="8"/>
      <c r="Z12" s="6" t="s">
        <v>20</v>
      </c>
      <c r="AA12" s="17">
        <f>SUM(AA8:AA11)</f>
        <v>338665.75</v>
      </c>
      <c r="AB12" s="6" t="s">
        <v>20</v>
      </c>
      <c r="AC12" s="8"/>
      <c r="AD12" s="6" t="s">
        <v>20</v>
      </c>
      <c r="AE12" s="6" t="s">
        <v>20</v>
      </c>
      <c r="AF12" s="6" t="s">
        <v>20</v>
      </c>
      <c r="AG12" s="6" t="s">
        <v>20</v>
      </c>
      <c r="AH12" s="6" t="s">
        <v>20</v>
      </c>
      <c r="AI12" s="6" t="s">
        <v>20</v>
      </c>
      <c r="AS12" s="20">
        <f>AA12/I12*1000</f>
        <v>7362.298913043478</v>
      </c>
    </row>
    <row r="13" spans="1:45" outlineLevel="2" x14ac:dyDescent="0.2">
      <c r="A13" t="s">
        <v>34</v>
      </c>
      <c r="B13" t="s">
        <v>1</v>
      </c>
      <c r="C13" t="s">
        <v>2</v>
      </c>
      <c r="D13" t="s">
        <v>3</v>
      </c>
      <c r="E13" s="2">
        <v>44965</v>
      </c>
      <c r="F13" t="s">
        <v>4</v>
      </c>
      <c r="G13" t="s">
        <v>5</v>
      </c>
      <c r="H13" t="s">
        <v>6</v>
      </c>
      <c r="I13" s="3">
        <v>70000</v>
      </c>
      <c r="J13" t="s">
        <v>7</v>
      </c>
      <c r="K13" t="s">
        <v>8</v>
      </c>
      <c r="L13" t="s">
        <v>58</v>
      </c>
      <c r="M13" t="s">
        <v>10</v>
      </c>
      <c r="N13" t="s">
        <v>36</v>
      </c>
      <c r="O13" t="s">
        <v>1</v>
      </c>
      <c r="P13" t="s">
        <v>6</v>
      </c>
      <c r="Q13" t="s">
        <v>59</v>
      </c>
      <c r="R13" t="s">
        <v>14</v>
      </c>
      <c r="S13" t="s">
        <v>15</v>
      </c>
      <c r="T13" t="s">
        <v>16</v>
      </c>
      <c r="U13" t="s">
        <v>60</v>
      </c>
      <c r="V13" t="s">
        <v>18</v>
      </c>
      <c r="W13" s="4">
        <v>10640</v>
      </c>
      <c r="X13" t="s">
        <v>19</v>
      </c>
      <c r="Y13" s="4">
        <v>53200</v>
      </c>
      <c r="Z13" t="s">
        <v>19</v>
      </c>
      <c r="AA13" s="14">
        <v>53200</v>
      </c>
      <c r="AB13" t="s">
        <v>19</v>
      </c>
      <c r="AC13" s="4">
        <v>63840</v>
      </c>
      <c r="AD13" t="s">
        <v>20</v>
      </c>
      <c r="AE13" t="s">
        <v>19</v>
      </c>
      <c r="AF13" s="5" t="s">
        <v>21</v>
      </c>
      <c r="AG13" t="s">
        <v>22</v>
      </c>
      <c r="AH13" t="s">
        <v>20</v>
      </c>
      <c r="AI13" t="s">
        <v>23</v>
      </c>
      <c r="AS13" s="19"/>
    </row>
    <row r="14" spans="1:45" outlineLevel="2" x14ac:dyDescent="0.2">
      <c r="A14" t="s">
        <v>37</v>
      </c>
      <c r="B14" t="s">
        <v>61</v>
      </c>
      <c r="C14" t="s">
        <v>2</v>
      </c>
      <c r="D14" t="s">
        <v>3</v>
      </c>
      <c r="E14" s="2">
        <v>44972</v>
      </c>
      <c r="F14" t="s">
        <v>4</v>
      </c>
      <c r="G14" t="s">
        <v>5</v>
      </c>
      <c r="H14" t="s">
        <v>6</v>
      </c>
      <c r="I14" s="3">
        <v>50000</v>
      </c>
      <c r="J14" t="s">
        <v>7</v>
      </c>
      <c r="K14" t="s">
        <v>8</v>
      </c>
      <c r="L14" t="s">
        <v>58</v>
      </c>
      <c r="M14" t="s">
        <v>10</v>
      </c>
      <c r="N14" t="s">
        <v>38</v>
      </c>
      <c r="O14" t="s">
        <v>61</v>
      </c>
      <c r="P14" t="s">
        <v>6</v>
      </c>
      <c r="Q14" t="s">
        <v>59</v>
      </c>
      <c r="R14" t="s">
        <v>14</v>
      </c>
      <c r="S14" t="s">
        <v>15</v>
      </c>
      <c r="T14" t="s">
        <v>16</v>
      </c>
      <c r="U14" t="s">
        <v>60</v>
      </c>
      <c r="V14" t="s">
        <v>18</v>
      </c>
      <c r="W14" s="4">
        <v>7900</v>
      </c>
      <c r="X14" t="s">
        <v>19</v>
      </c>
      <c r="Y14" s="4">
        <v>39500</v>
      </c>
      <c r="Z14" t="s">
        <v>19</v>
      </c>
      <c r="AA14" s="14">
        <v>39500</v>
      </c>
      <c r="AB14" t="s">
        <v>19</v>
      </c>
      <c r="AC14" s="4">
        <v>47400</v>
      </c>
      <c r="AD14" t="s">
        <v>20</v>
      </c>
      <c r="AE14" t="s">
        <v>19</v>
      </c>
      <c r="AF14" s="5" t="s">
        <v>21</v>
      </c>
      <c r="AG14" t="s">
        <v>22</v>
      </c>
      <c r="AH14" t="s">
        <v>20</v>
      </c>
      <c r="AI14" t="s">
        <v>23</v>
      </c>
      <c r="AS14" s="19"/>
    </row>
    <row r="15" spans="1:45" outlineLevel="2" x14ac:dyDescent="0.2">
      <c r="A15" t="s">
        <v>53</v>
      </c>
      <c r="B15" t="s">
        <v>35</v>
      </c>
      <c r="C15" t="s">
        <v>2</v>
      </c>
      <c r="D15" t="s">
        <v>3</v>
      </c>
      <c r="E15" s="2">
        <v>44979</v>
      </c>
      <c r="F15" t="s">
        <v>4</v>
      </c>
      <c r="G15" t="s">
        <v>5</v>
      </c>
      <c r="H15" t="s">
        <v>6</v>
      </c>
      <c r="I15" s="3">
        <v>40000</v>
      </c>
      <c r="J15" t="s">
        <v>7</v>
      </c>
      <c r="K15" t="s">
        <v>8</v>
      </c>
      <c r="L15" t="s">
        <v>58</v>
      </c>
      <c r="M15" t="s">
        <v>10</v>
      </c>
      <c r="N15" t="s">
        <v>55</v>
      </c>
      <c r="O15" t="s">
        <v>35</v>
      </c>
      <c r="P15" t="s">
        <v>6</v>
      </c>
      <c r="Q15" t="s">
        <v>59</v>
      </c>
      <c r="R15" t="s">
        <v>14</v>
      </c>
      <c r="S15" t="s">
        <v>15</v>
      </c>
      <c r="T15" t="s">
        <v>16</v>
      </c>
      <c r="U15" t="s">
        <v>60</v>
      </c>
      <c r="V15" t="s">
        <v>18</v>
      </c>
      <c r="W15" s="4">
        <v>6320</v>
      </c>
      <c r="X15" t="s">
        <v>19</v>
      </c>
      <c r="Y15" s="4">
        <v>31600</v>
      </c>
      <c r="Z15" t="s">
        <v>19</v>
      </c>
      <c r="AA15" s="14">
        <v>31600</v>
      </c>
      <c r="AB15" t="s">
        <v>19</v>
      </c>
      <c r="AC15" s="4">
        <v>37920</v>
      </c>
      <c r="AD15" t="s">
        <v>20</v>
      </c>
      <c r="AE15" t="s">
        <v>19</v>
      </c>
      <c r="AF15" s="5" t="s">
        <v>21</v>
      </c>
      <c r="AG15" t="s">
        <v>22</v>
      </c>
      <c r="AH15" t="s">
        <v>20</v>
      </c>
      <c r="AI15" t="s">
        <v>23</v>
      </c>
      <c r="AS15" s="19"/>
    </row>
    <row r="16" spans="1:45" outlineLevel="2" x14ac:dyDescent="0.2">
      <c r="A16" t="s">
        <v>62</v>
      </c>
      <c r="B16" t="s">
        <v>47</v>
      </c>
      <c r="C16" t="s">
        <v>25</v>
      </c>
      <c r="D16" t="s">
        <v>3</v>
      </c>
      <c r="E16" s="2">
        <v>44979</v>
      </c>
      <c r="F16" t="s">
        <v>63</v>
      </c>
      <c r="G16" t="s">
        <v>64</v>
      </c>
      <c r="H16" t="s">
        <v>6</v>
      </c>
      <c r="I16" s="3">
        <v>20000</v>
      </c>
      <c r="J16" t="s">
        <v>7</v>
      </c>
      <c r="K16" t="s">
        <v>65</v>
      </c>
      <c r="L16" t="s">
        <v>66</v>
      </c>
      <c r="M16" t="s">
        <v>67</v>
      </c>
      <c r="N16" t="s">
        <v>68</v>
      </c>
      <c r="O16" t="s">
        <v>47</v>
      </c>
      <c r="P16" t="s">
        <v>6</v>
      </c>
      <c r="Q16" t="s">
        <v>59</v>
      </c>
      <c r="R16" t="s">
        <v>14</v>
      </c>
      <c r="S16" t="s">
        <v>15</v>
      </c>
      <c r="T16" t="s">
        <v>16</v>
      </c>
      <c r="U16" t="s">
        <v>60</v>
      </c>
      <c r="V16" t="s">
        <v>69</v>
      </c>
      <c r="W16" s="4">
        <v>82.44</v>
      </c>
      <c r="X16" t="s">
        <v>32</v>
      </c>
      <c r="Y16" s="4">
        <v>412.2</v>
      </c>
      <c r="Z16" t="s">
        <v>32</v>
      </c>
      <c r="AA16" s="14">
        <v>31053</v>
      </c>
      <c r="AB16" t="s">
        <v>19</v>
      </c>
      <c r="AC16" s="4">
        <v>494.64</v>
      </c>
      <c r="AD16" t="s">
        <v>20</v>
      </c>
      <c r="AE16" t="s">
        <v>32</v>
      </c>
      <c r="AF16" s="5" t="s">
        <v>21</v>
      </c>
      <c r="AG16" t="s">
        <v>20</v>
      </c>
      <c r="AH16" t="s">
        <v>20</v>
      </c>
      <c r="AI16" t="s">
        <v>23</v>
      </c>
      <c r="AS16" s="19"/>
    </row>
    <row r="17" spans="1:45" outlineLevel="1" x14ac:dyDescent="0.2">
      <c r="A17" s="6" t="s">
        <v>20</v>
      </c>
      <c r="B17" s="6" t="s">
        <v>20</v>
      </c>
      <c r="C17" s="6" t="s">
        <v>20</v>
      </c>
      <c r="D17" s="6" t="s">
        <v>20</v>
      </c>
      <c r="E17" s="7"/>
      <c r="F17" s="6" t="s">
        <v>20</v>
      </c>
      <c r="G17" s="6" t="s">
        <v>20</v>
      </c>
      <c r="H17" s="6" t="s">
        <v>20</v>
      </c>
      <c r="I17" s="17">
        <v>180000</v>
      </c>
      <c r="J17" s="6" t="s">
        <v>7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20</v>
      </c>
      <c r="P17" s="6" t="s">
        <v>20</v>
      </c>
      <c r="Q17" s="6" t="s">
        <v>59</v>
      </c>
      <c r="R17" s="6" t="s">
        <v>20</v>
      </c>
      <c r="S17" s="6" t="s">
        <v>20</v>
      </c>
      <c r="T17" s="6" t="s">
        <v>20</v>
      </c>
      <c r="U17" s="6" t="s">
        <v>20</v>
      </c>
      <c r="V17" s="6" t="s">
        <v>20</v>
      </c>
      <c r="W17" s="8"/>
      <c r="X17" s="6" t="s">
        <v>20</v>
      </c>
      <c r="Y17" s="8"/>
      <c r="Z17" s="6" t="s">
        <v>20</v>
      </c>
      <c r="AA17" s="17">
        <f>SUM(AA13:AA16)</f>
        <v>155353</v>
      </c>
      <c r="AB17" s="6" t="s">
        <v>20</v>
      </c>
      <c r="AC17" s="8"/>
      <c r="AD17" s="6" t="s">
        <v>20</v>
      </c>
      <c r="AE17" s="6" t="s">
        <v>20</v>
      </c>
      <c r="AF17" s="6" t="s">
        <v>20</v>
      </c>
      <c r="AG17" s="6" t="s">
        <v>20</v>
      </c>
      <c r="AH17" s="6" t="s">
        <v>20</v>
      </c>
      <c r="AI17" s="6" t="s">
        <v>20</v>
      </c>
      <c r="AS17" s="20">
        <f>AA17/I17*1000</f>
        <v>863.07222222222219</v>
      </c>
    </row>
    <row r="18" spans="1:45" outlineLevel="2" x14ac:dyDescent="0.2">
      <c r="A18" t="s">
        <v>70</v>
      </c>
      <c r="B18" t="s">
        <v>71</v>
      </c>
      <c r="C18" t="s">
        <v>2</v>
      </c>
      <c r="D18" t="s">
        <v>3</v>
      </c>
      <c r="E18" s="2">
        <v>44985</v>
      </c>
      <c r="F18" t="s">
        <v>72</v>
      </c>
      <c r="G18" t="s">
        <v>73</v>
      </c>
      <c r="H18" t="s">
        <v>6</v>
      </c>
      <c r="I18" s="3">
        <v>16500</v>
      </c>
      <c r="J18" t="s">
        <v>7</v>
      </c>
      <c r="K18" t="s">
        <v>74</v>
      </c>
      <c r="L18" t="s">
        <v>75</v>
      </c>
      <c r="M18" t="s">
        <v>10</v>
      </c>
      <c r="N18" t="s">
        <v>76</v>
      </c>
      <c r="O18" t="s">
        <v>71</v>
      </c>
      <c r="P18" t="s">
        <v>6</v>
      </c>
      <c r="Q18" t="s">
        <v>77</v>
      </c>
      <c r="R18" t="s">
        <v>14</v>
      </c>
      <c r="S18" t="s">
        <v>15</v>
      </c>
      <c r="T18" t="s">
        <v>16</v>
      </c>
      <c r="U18" t="s">
        <v>78</v>
      </c>
      <c r="V18" t="s">
        <v>18</v>
      </c>
      <c r="W18" s="4">
        <v>42768</v>
      </c>
      <c r="X18" t="s">
        <v>19</v>
      </c>
      <c r="Y18" s="4">
        <v>213840</v>
      </c>
      <c r="Z18" t="s">
        <v>19</v>
      </c>
      <c r="AA18" s="14">
        <v>213840</v>
      </c>
      <c r="AB18" t="s">
        <v>19</v>
      </c>
      <c r="AC18" s="4">
        <v>256608</v>
      </c>
      <c r="AD18" t="s">
        <v>20</v>
      </c>
      <c r="AE18" t="s">
        <v>19</v>
      </c>
      <c r="AF18" s="5" t="s">
        <v>21</v>
      </c>
      <c r="AG18" t="s">
        <v>79</v>
      </c>
      <c r="AH18" t="s">
        <v>20</v>
      </c>
      <c r="AI18" t="s">
        <v>23</v>
      </c>
      <c r="AS18" s="19"/>
    </row>
    <row r="19" spans="1:45" outlineLevel="1" x14ac:dyDescent="0.2">
      <c r="A19" s="6" t="s">
        <v>20</v>
      </c>
      <c r="B19" s="6" t="s">
        <v>20</v>
      </c>
      <c r="C19" s="6" t="s">
        <v>20</v>
      </c>
      <c r="D19" s="6" t="s">
        <v>20</v>
      </c>
      <c r="E19" s="7"/>
      <c r="F19" s="6" t="s">
        <v>20</v>
      </c>
      <c r="G19" s="6" t="s">
        <v>20</v>
      </c>
      <c r="H19" s="6" t="s">
        <v>20</v>
      </c>
      <c r="I19" s="17">
        <v>16500</v>
      </c>
      <c r="J19" s="6" t="s">
        <v>7</v>
      </c>
      <c r="K19" s="6" t="s">
        <v>20</v>
      </c>
      <c r="L19" s="6" t="s">
        <v>20</v>
      </c>
      <c r="M19" s="6" t="s">
        <v>20</v>
      </c>
      <c r="N19" s="6" t="s">
        <v>20</v>
      </c>
      <c r="O19" s="6" t="s">
        <v>20</v>
      </c>
      <c r="P19" s="6" t="s">
        <v>20</v>
      </c>
      <c r="Q19" s="6" t="s">
        <v>77</v>
      </c>
      <c r="R19" s="6" t="s">
        <v>20</v>
      </c>
      <c r="S19" s="6" t="s">
        <v>20</v>
      </c>
      <c r="T19" s="6" t="s">
        <v>20</v>
      </c>
      <c r="U19" s="6" t="s">
        <v>20</v>
      </c>
      <c r="V19" s="6" t="s">
        <v>20</v>
      </c>
      <c r="W19" s="8"/>
      <c r="X19" s="6" t="s">
        <v>20</v>
      </c>
      <c r="Y19" s="8"/>
      <c r="Z19" s="6" t="s">
        <v>20</v>
      </c>
      <c r="AA19" s="17">
        <f>SUM(AA18)</f>
        <v>213840</v>
      </c>
      <c r="AB19" s="6" t="s">
        <v>20</v>
      </c>
      <c r="AC19" s="8"/>
      <c r="AD19" s="6" t="s">
        <v>20</v>
      </c>
      <c r="AE19" s="6" t="s">
        <v>20</v>
      </c>
      <c r="AF19" s="6" t="s">
        <v>20</v>
      </c>
      <c r="AG19" s="6" t="s">
        <v>20</v>
      </c>
      <c r="AH19" s="6" t="s">
        <v>20</v>
      </c>
      <c r="AI19" s="6" t="s">
        <v>20</v>
      </c>
      <c r="AS19" s="18">
        <f>AA19/I19*1000</f>
        <v>12960</v>
      </c>
    </row>
    <row r="20" spans="1:45" x14ac:dyDescent="0.2">
      <c r="A20" s="9" t="s">
        <v>20</v>
      </c>
      <c r="B20" s="9" t="s">
        <v>20</v>
      </c>
      <c r="C20" s="9" t="s">
        <v>20</v>
      </c>
      <c r="D20" s="9" t="s">
        <v>20</v>
      </c>
      <c r="E20" s="10"/>
      <c r="F20" s="9" t="s">
        <v>20</v>
      </c>
      <c r="G20" s="9" t="s">
        <v>20</v>
      </c>
      <c r="H20" s="9" t="s">
        <v>20</v>
      </c>
      <c r="I20" s="11">
        <v>310500</v>
      </c>
      <c r="J20" s="9" t="s">
        <v>7</v>
      </c>
      <c r="K20" s="9" t="s">
        <v>20</v>
      </c>
      <c r="L20" s="9" t="s">
        <v>20</v>
      </c>
      <c r="M20" s="9" t="s">
        <v>20</v>
      </c>
      <c r="N20" s="9" t="s">
        <v>20</v>
      </c>
      <c r="O20" s="9" t="s">
        <v>20</v>
      </c>
      <c r="P20" s="9" t="s">
        <v>20</v>
      </c>
      <c r="Q20" s="9" t="s">
        <v>20</v>
      </c>
      <c r="R20" s="9" t="s">
        <v>20</v>
      </c>
      <c r="S20" s="9" t="s">
        <v>20</v>
      </c>
      <c r="T20" s="9" t="s">
        <v>20</v>
      </c>
      <c r="U20" s="9" t="s">
        <v>20</v>
      </c>
      <c r="V20" s="9" t="s">
        <v>20</v>
      </c>
      <c r="W20" s="11"/>
      <c r="X20" s="9" t="s">
        <v>20</v>
      </c>
      <c r="Y20" s="11"/>
      <c r="Z20" s="9" t="s">
        <v>20</v>
      </c>
      <c r="AA20" s="15"/>
      <c r="AB20" s="9" t="s">
        <v>20</v>
      </c>
      <c r="AC20" s="11"/>
      <c r="AD20" s="9" t="s">
        <v>20</v>
      </c>
      <c r="AE20" s="9" t="s">
        <v>20</v>
      </c>
      <c r="AF20" s="9" t="s">
        <v>20</v>
      </c>
      <c r="AG20" s="9" t="s">
        <v>20</v>
      </c>
      <c r="AH20" s="9" t="s">
        <v>20</v>
      </c>
      <c r="AI20" s="9" t="s">
        <v>20</v>
      </c>
      <c r="AS20" s="1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Sobotnitskaya, Olga</cp:lastModifiedBy>
  <cp:revision>1</cp:revision>
  <dcterms:modified xsi:type="dcterms:W3CDTF">2023-03-17T14:19:04Z</dcterms:modified>
  <cp:category/>
</cp:coreProperties>
</file>